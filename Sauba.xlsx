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Sauba\"/>
    </mc:Choice>
  </mc:AlternateContent>
  <xr:revisionPtr revIDLastSave="0" documentId="13_ncr:1_{1C8DB4AF-BFED-4851-970E-8CD7475EE589}" xr6:coauthVersionLast="47" xr6:coauthVersionMax="47" xr10:uidLastSave="{00000000-0000-0000-0000-000000000000}"/>
  <bookViews>
    <workbookView xWindow="-120" yWindow="-120" windowWidth="29040" windowHeight="15840" activeTab="1" xr2:uid="{58F555F7-6AB5-413D-8403-5B513D399F83}"/>
  </bookViews>
  <sheets>
    <sheet name="Data_Cleaning_Practice_Dataset " sheetId="1" r:id="rId1"/>
    <sheet name="Sheet1" sheetId="2" r:id="rId2"/>
  </sheets>
  <definedNames>
    <definedName name="_xlnm._FilterDatabase" localSheetId="1" hidden="1">Sheet1!$A$1:$R$15</definedName>
    <definedName name="_xlchart.v1.0" hidden="1">Sheet1!$C$1</definedName>
    <definedName name="_xlchart.v1.1" hidden="1">Sheet1!$C$2:$C$13</definedName>
  </definedNames>
  <calcPr calcId="191029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2" i="2"/>
  <c r="I3" i="2"/>
  <c r="I4" i="2"/>
  <c r="I5" i="2"/>
  <c r="I6" i="2"/>
  <c r="I7" i="2"/>
  <c r="I8" i="2"/>
  <c r="I9" i="2"/>
  <c r="I10" i="2"/>
  <c r="I11" i="2"/>
  <c r="I12" i="2"/>
  <c r="I13" i="2"/>
  <c r="I2" i="2"/>
  <c r="D2" i="2"/>
  <c r="E2" i="2"/>
  <c r="C14" i="2"/>
  <c r="J13" i="2" s="1"/>
  <c r="J2" i="2"/>
  <c r="J3" i="2"/>
  <c r="J4" i="2"/>
  <c r="J5" i="2"/>
  <c r="J6" i="2"/>
  <c r="J7" i="2"/>
  <c r="J8" i="2"/>
  <c r="J9" i="2"/>
  <c r="J10" i="2"/>
  <c r="J11" i="2"/>
  <c r="J12" i="2"/>
  <c r="L3" i="2"/>
  <c r="L4" i="2"/>
  <c r="L5" i="2"/>
  <c r="L6" i="2"/>
  <c r="L7" i="2"/>
  <c r="L8" i="2"/>
  <c r="L9" i="2"/>
  <c r="L10" i="2"/>
  <c r="L11" i="2"/>
  <c r="L12" i="2"/>
  <c r="L13" i="2"/>
  <c r="L2" i="2"/>
  <c r="F2" i="2" l="1"/>
  <c r="H2" i="2" l="1"/>
  <c r="G2" i="2"/>
</calcChain>
</file>

<file path=xl/sharedStrings.xml><?xml version="1.0" encoding="utf-8"?>
<sst xmlns="http://schemas.openxmlformats.org/spreadsheetml/2006/main" count="80" uniqueCount="37">
  <si>
    <t>Customer_ID</t>
  </si>
  <si>
    <t>Name</t>
  </si>
  <si>
    <t>Age</t>
  </si>
  <si>
    <t>Gender</t>
  </si>
  <si>
    <t>Join_Date</t>
  </si>
  <si>
    <t>Monthly_Spend</t>
  </si>
  <si>
    <t xml:space="preserve"> Alice </t>
  </si>
  <si>
    <t>Female</t>
  </si>
  <si>
    <t>1/15/2023</t>
  </si>
  <si>
    <t>bob</t>
  </si>
  <si>
    <t>male</t>
  </si>
  <si>
    <t>CHARLIE</t>
  </si>
  <si>
    <t>Male</t>
  </si>
  <si>
    <t>March 3 2023</t>
  </si>
  <si>
    <t>David</t>
  </si>
  <si>
    <t>M</t>
  </si>
  <si>
    <t xml:space="preserve">Eve </t>
  </si>
  <si>
    <t>F</t>
  </si>
  <si>
    <t>Frank</t>
  </si>
  <si>
    <t>6/20/2023</t>
  </si>
  <si>
    <t xml:space="preserve"> Grace</t>
  </si>
  <si>
    <t xml:space="preserve">female </t>
  </si>
  <si>
    <t>7/15/2023</t>
  </si>
  <si>
    <t>Hannah</t>
  </si>
  <si>
    <t>2023.08.01</t>
  </si>
  <si>
    <t>Ian</t>
  </si>
  <si>
    <t>JACK</t>
  </si>
  <si>
    <t>female</t>
  </si>
  <si>
    <t>quartile 1</t>
  </si>
  <si>
    <t>quartile 3</t>
  </si>
  <si>
    <t>average</t>
  </si>
  <si>
    <t>inter quartile</t>
  </si>
  <si>
    <t>lower q</t>
  </si>
  <si>
    <t>upper q</t>
  </si>
  <si>
    <t>median</t>
  </si>
  <si>
    <t>mode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</si>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</sst>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771CBDFA-EED5-4257-B5A5-80794401F4A1}">
          <cx:tx>
            <cx:txData>
              <cx:f>_xlchart.v1.0</cx:f>
              <cx:v>Age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21</xdr:row>
      <xdr:rowOff>57150</xdr:rowOff>
    </xdr:from>
    <xdr:to>
      <xdr:col>15</xdr:col>
      <xdr:colOff>247650</xdr:colOff>
      <xdr:row>35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2D76328-1F5E-5CB4-D974-E08629CDE6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25" y="4057650"/>
              <a:ext cx="51625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08BE-CDF3-4A4E-9420-3421F5241FF7}">
  <dimension ref="A1:F13"/>
  <sheetViews>
    <sheetView workbookViewId="0">
      <selection activeCell="H2" sqref="H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 t="s">
        <v>6</v>
      </c>
      <c r="C2">
        <v>25</v>
      </c>
      <c r="D2" t="s">
        <v>7</v>
      </c>
      <c r="E2" t="s">
        <v>8</v>
      </c>
      <c r="F2">
        <v>250.5</v>
      </c>
    </row>
    <row r="3" spans="1:6" x14ac:dyDescent="0.25">
      <c r="A3">
        <v>102</v>
      </c>
      <c r="B3" t="s">
        <v>9</v>
      </c>
      <c r="C3">
        <v>34</v>
      </c>
      <c r="D3" t="s">
        <v>10</v>
      </c>
      <c r="E3" s="1">
        <v>44972</v>
      </c>
      <c r="F3">
        <v>300</v>
      </c>
    </row>
    <row r="4" spans="1:6" x14ac:dyDescent="0.25">
      <c r="A4">
        <v>103</v>
      </c>
      <c r="B4" t="s">
        <v>11</v>
      </c>
      <c r="D4" t="s">
        <v>12</v>
      </c>
      <c r="E4" t="s">
        <v>13</v>
      </c>
      <c r="F4">
        <v>150.75</v>
      </c>
    </row>
    <row r="5" spans="1:6" x14ac:dyDescent="0.25">
      <c r="A5">
        <v>104</v>
      </c>
      <c r="B5" t="s">
        <v>14</v>
      </c>
      <c r="C5">
        <v>29</v>
      </c>
      <c r="D5" t="s">
        <v>15</v>
      </c>
      <c r="E5" s="1">
        <v>44930</v>
      </c>
    </row>
    <row r="6" spans="1:6" x14ac:dyDescent="0.25">
      <c r="A6">
        <v>105</v>
      </c>
      <c r="B6" t="s">
        <v>16</v>
      </c>
      <c r="C6">
        <v>200</v>
      </c>
      <c r="D6" t="s">
        <v>17</v>
      </c>
      <c r="F6">
        <v>9999</v>
      </c>
    </row>
    <row r="7" spans="1:6" x14ac:dyDescent="0.25">
      <c r="A7">
        <v>106</v>
      </c>
      <c r="B7" t="s">
        <v>18</v>
      </c>
      <c r="C7">
        <v>31</v>
      </c>
      <c r="D7" t="s">
        <v>12</v>
      </c>
      <c r="E7" t="s">
        <v>19</v>
      </c>
      <c r="F7">
        <v>275</v>
      </c>
    </row>
    <row r="8" spans="1:6" x14ac:dyDescent="0.25">
      <c r="A8">
        <v>106</v>
      </c>
      <c r="B8" t="s">
        <v>18</v>
      </c>
      <c r="C8">
        <v>31</v>
      </c>
      <c r="D8" t="s">
        <v>12</v>
      </c>
      <c r="E8" t="s">
        <v>19</v>
      </c>
      <c r="F8">
        <v>275</v>
      </c>
    </row>
    <row r="9" spans="1:6" x14ac:dyDescent="0.25">
      <c r="A9">
        <v>108</v>
      </c>
      <c r="B9" t="s">
        <v>20</v>
      </c>
      <c r="C9">
        <v>27</v>
      </c>
      <c r="D9" t="s">
        <v>21</v>
      </c>
      <c r="E9" t="s">
        <v>22</v>
      </c>
      <c r="F9">
        <v>260.39999999999998</v>
      </c>
    </row>
    <row r="10" spans="1:6" x14ac:dyDescent="0.25">
      <c r="A10">
        <v>109</v>
      </c>
      <c r="B10" t="s">
        <v>23</v>
      </c>
      <c r="D10" t="s">
        <v>7</v>
      </c>
      <c r="E10" t="s">
        <v>24</v>
      </c>
      <c r="F10">
        <v>0</v>
      </c>
    </row>
    <row r="11" spans="1:6" x14ac:dyDescent="0.25">
      <c r="A11">
        <v>110</v>
      </c>
      <c r="B11" t="s">
        <v>25</v>
      </c>
      <c r="C11">
        <v>45</v>
      </c>
      <c r="D11" t="s">
        <v>12</v>
      </c>
      <c r="E11" s="1">
        <v>45208</v>
      </c>
      <c r="F11">
        <v>310.2</v>
      </c>
    </row>
    <row r="12" spans="1:6" x14ac:dyDescent="0.25">
      <c r="A12">
        <v>111</v>
      </c>
      <c r="B12" t="s">
        <v>26</v>
      </c>
      <c r="C12">
        <v>38</v>
      </c>
      <c r="D12" t="s">
        <v>10</v>
      </c>
      <c r="E12" s="1">
        <v>45056</v>
      </c>
    </row>
    <row r="13" spans="1:6" x14ac:dyDescent="0.25">
      <c r="A13">
        <v>112</v>
      </c>
      <c r="C13">
        <v>22</v>
      </c>
      <c r="D13" t="s">
        <v>7</v>
      </c>
      <c r="E13" s="1">
        <v>45271</v>
      </c>
      <c r="F13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25F6-CFFB-4570-B5BE-B0566BF8EC10}">
  <dimension ref="A1:R15"/>
  <sheetViews>
    <sheetView tabSelected="1" workbookViewId="0">
      <selection activeCell="S1" sqref="A1:XFD1048576"/>
    </sheetView>
  </sheetViews>
  <sheetFormatPr defaultRowHeight="15" x14ac:dyDescent="0.25"/>
  <cols>
    <col min="4" max="4" width="9.7109375" customWidth="1"/>
    <col min="5" max="5" width="10.28515625" customWidth="1"/>
    <col min="6" max="6" width="12.7109375" bestFit="1" customWidth="1"/>
    <col min="7" max="9" width="12.7109375" customWidth="1"/>
    <col min="13" max="13" width="10.140625" customWidth="1"/>
    <col min="14" max="14" width="18" customWidth="1"/>
    <col min="18" max="18" width="18" style="2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31</v>
      </c>
      <c r="G1" t="s">
        <v>32</v>
      </c>
      <c r="H1" t="s">
        <v>33</v>
      </c>
      <c r="J1" t="s">
        <v>30</v>
      </c>
      <c r="K1" t="s">
        <v>3</v>
      </c>
      <c r="M1" t="s">
        <v>4</v>
      </c>
      <c r="N1" t="s">
        <v>5</v>
      </c>
      <c r="O1" t="s">
        <v>34</v>
      </c>
      <c r="P1" t="s">
        <v>35</v>
      </c>
      <c r="Q1" t="s">
        <v>36</v>
      </c>
      <c r="R1" s="2" t="s">
        <v>5</v>
      </c>
    </row>
    <row r="2" spans="1:18" x14ac:dyDescent="0.25">
      <c r="A2">
        <v>101</v>
      </c>
      <c r="B2" t="s">
        <v>6</v>
      </c>
      <c r="C2">
        <v>25</v>
      </c>
      <c r="D2">
        <f>QUARTILE(C2:C13,1)</f>
        <v>28.5</v>
      </c>
      <c r="E2">
        <f>QUARTILE(C2:C13,3)</f>
        <v>45.8</v>
      </c>
      <c r="F2">
        <f>(E2-D2)</f>
        <v>17.299999999999997</v>
      </c>
      <c r="G2">
        <f>(D2-1.5*F2)</f>
        <v>2.5500000000000043</v>
      </c>
      <c r="H2">
        <f>(E2+1.5*F2)</f>
        <v>71.75</v>
      </c>
      <c r="I2" t="str">
        <f>IF(OR(C2&lt;$H$2,C2&gt;G2),"outlier","normal")</f>
        <v>outlier</v>
      </c>
      <c r="J2" t="str">
        <f t="shared" ref="J2:J13" si="0">_xlfn.IFS(C3&lt;18,"young",C3&gt;=18,"youth",C3&gt;=27,"adult")</f>
        <v>youth</v>
      </c>
      <c r="K2" t="s">
        <v>27</v>
      </c>
      <c r="L2">
        <f>IF(K2="female",2,1)</f>
        <v>2</v>
      </c>
      <c r="M2" t="s">
        <v>8</v>
      </c>
      <c r="N2">
        <v>250.5</v>
      </c>
      <c r="O2">
        <v>275</v>
      </c>
      <c r="P2">
        <v>275</v>
      </c>
      <c r="Q2">
        <f>_xlfn.VAR.P(N2:N13)</f>
        <v>7345992.0189409731</v>
      </c>
      <c r="R2" s="2">
        <v>250.5</v>
      </c>
    </row>
    <row r="3" spans="1:18" x14ac:dyDescent="0.25">
      <c r="A3">
        <v>102</v>
      </c>
      <c r="B3" t="s">
        <v>9</v>
      </c>
      <c r="C3">
        <v>34</v>
      </c>
      <c r="I3" t="str">
        <f t="shared" ref="I3:I13" si="1">IF(OR(C3&lt;$H$2,C3&gt;G3),"outlier","normal")</f>
        <v>outlier</v>
      </c>
      <c r="J3" t="str">
        <f t="shared" si="0"/>
        <v>youth</v>
      </c>
      <c r="K3" t="s">
        <v>10</v>
      </c>
      <c r="L3">
        <f t="shared" ref="L3:L13" si="2">IF(K3="female",2,1)</f>
        <v>1</v>
      </c>
      <c r="M3" s="1">
        <v>44972</v>
      </c>
      <c r="N3">
        <v>300</v>
      </c>
      <c r="Q3">
        <f t="shared" ref="Q3:Q12" si="3">_xlfn.VAR.P(N3:N14)</f>
        <v>7375384.8904687501</v>
      </c>
      <c r="R3" s="2">
        <v>300</v>
      </c>
    </row>
    <row r="4" spans="1:18" x14ac:dyDescent="0.25">
      <c r="A4">
        <v>103</v>
      </c>
      <c r="B4" t="s">
        <v>11</v>
      </c>
      <c r="C4">
        <v>48.2</v>
      </c>
      <c r="I4" t="str">
        <f t="shared" si="1"/>
        <v>outlier</v>
      </c>
      <c r="J4" t="str">
        <f t="shared" si="0"/>
        <v>youth</v>
      </c>
      <c r="K4" t="s">
        <v>10</v>
      </c>
      <c r="L4">
        <f t="shared" si="2"/>
        <v>1</v>
      </c>
      <c r="M4" t="s">
        <v>13</v>
      </c>
      <c r="N4">
        <v>150.75</v>
      </c>
      <c r="Q4">
        <f t="shared" si="3"/>
        <v>7997315.8240909092</v>
      </c>
      <c r="R4" s="2">
        <v>150.75</v>
      </c>
    </row>
    <row r="5" spans="1:18" x14ac:dyDescent="0.25">
      <c r="A5">
        <v>104</v>
      </c>
      <c r="B5" t="s">
        <v>14</v>
      </c>
      <c r="C5">
        <v>29</v>
      </c>
      <c r="I5" t="str">
        <f t="shared" si="1"/>
        <v>outlier</v>
      </c>
      <c r="J5" t="str">
        <f t="shared" si="0"/>
        <v>youth</v>
      </c>
      <c r="K5" t="s">
        <v>10</v>
      </c>
      <c r="L5">
        <f t="shared" si="2"/>
        <v>1</v>
      </c>
      <c r="M5" s="1">
        <v>44930</v>
      </c>
      <c r="N5">
        <v>45.5</v>
      </c>
      <c r="Q5">
        <f t="shared" si="3"/>
        <v>8705435.1428999994</v>
      </c>
      <c r="R5" s="2">
        <v>45.5</v>
      </c>
    </row>
    <row r="6" spans="1:18" x14ac:dyDescent="0.25">
      <c r="A6">
        <v>105</v>
      </c>
      <c r="B6" t="s">
        <v>16</v>
      </c>
      <c r="C6">
        <v>200</v>
      </c>
      <c r="I6" t="str">
        <f t="shared" si="1"/>
        <v>outlier</v>
      </c>
      <c r="J6" t="str">
        <f t="shared" si="0"/>
        <v>youth</v>
      </c>
      <c r="K6" t="s">
        <v>27</v>
      </c>
      <c r="L6">
        <f t="shared" si="2"/>
        <v>2</v>
      </c>
      <c r="N6">
        <v>9999</v>
      </c>
      <c r="Q6">
        <f t="shared" si="3"/>
        <v>9520838.4313580245</v>
      </c>
      <c r="R6" s="2">
        <v>9999</v>
      </c>
    </row>
    <row r="7" spans="1:18" x14ac:dyDescent="0.25">
      <c r="A7">
        <v>106</v>
      </c>
      <c r="B7" t="s">
        <v>18</v>
      </c>
      <c r="C7">
        <v>31</v>
      </c>
      <c r="I7" t="str">
        <f t="shared" si="1"/>
        <v>outlier</v>
      </c>
      <c r="J7" t="str">
        <f t="shared" si="0"/>
        <v>youth</v>
      </c>
      <c r="K7" t="s">
        <v>10</v>
      </c>
      <c r="L7">
        <f t="shared" si="2"/>
        <v>1</v>
      </c>
      <c r="M7" t="s">
        <v>19</v>
      </c>
      <c r="N7">
        <v>275</v>
      </c>
      <c r="Q7">
        <f t="shared" si="3"/>
        <v>15209.047500000001</v>
      </c>
      <c r="R7" s="2">
        <v>275</v>
      </c>
    </row>
    <row r="8" spans="1:18" x14ac:dyDescent="0.25">
      <c r="A8">
        <v>106</v>
      </c>
      <c r="B8" t="s">
        <v>18</v>
      </c>
      <c r="C8">
        <v>31</v>
      </c>
      <c r="I8" t="str">
        <f t="shared" si="1"/>
        <v>outlier</v>
      </c>
      <c r="J8" t="str">
        <f t="shared" si="0"/>
        <v>youth</v>
      </c>
      <c r="K8" t="s">
        <v>10</v>
      </c>
      <c r="L8">
        <f t="shared" si="2"/>
        <v>1</v>
      </c>
      <c r="M8" t="s">
        <v>19</v>
      </c>
      <c r="N8">
        <v>275</v>
      </c>
      <c r="Q8">
        <f t="shared" si="3"/>
        <v>16137.476326530605</v>
      </c>
      <c r="R8" s="2">
        <v>275</v>
      </c>
    </row>
    <row r="9" spans="1:18" x14ac:dyDescent="0.25">
      <c r="A9">
        <v>108</v>
      </c>
      <c r="B9" t="s">
        <v>20</v>
      </c>
      <c r="C9">
        <v>27</v>
      </c>
      <c r="I9" t="str">
        <f t="shared" si="1"/>
        <v>outlier</v>
      </c>
      <c r="J9" t="str">
        <f t="shared" si="0"/>
        <v>youth</v>
      </c>
      <c r="K9" t="s">
        <v>27</v>
      </c>
      <c r="L9">
        <f t="shared" si="2"/>
        <v>2</v>
      </c>
      <c r="M9" t="s">
        <v>22</v>
      </c>
      <c r="N9">
        <v>260.39999999999998</v>
      </c>
      <c r="Q9">
        <f t="shared" si="3"/>
        <v>16891.490000000005</v>
      </c>
      <c r="R9" s="2">
        <v>260.39999999999998</v>
      </c>
    </row>
    <row r="10" spans="1:18" x14ac:dyDescent="0.25">
      <c r="A10">
        <v>109</v>
      </c>
      <c r="B10" t="s">
        <v>23</v>
      </c>
      <c r="C10">
        <v>48.2</v>
      </c>
      <c r="I10" t="str">
        <f t="shared" si="1"/>
        <v>outlier</v>
      </c>
      <c r="J10" t="str">
        <f t="shared" si="0"/>
        <v>youth</v>
      </c>
      <c r="K10" t="s">
        <v>27</v>
      </c>
      <c r="L10">
        <f t="shared" si="2"/>
        <v>2</v>
      </c>
      <c r="M10" t="s">
        <v>24</v>
      </c>
      <c r="N10">
        <v>0</v>
      </c>
      <c r="Q10">
        <f t="shared" si="3"/>
        <v>17782.610399999994</v>
      </c>
      <c r="R10" s="2">
        <v>0</v>
      </c>
    </row>
    <row r="11" spans="1:18" x14ac:dyDescent="0.25">
      <c r="A11">
        <v>110</v>
      </c>
      <c r="B11" t="s">
        <v>25</v>
      </c>
      <c r="C11">
        <v>45</v>
      </c>
      <c r="I11" t="str">
        <f t="shared" si="1"/>
        <v>outlier</v>
      </c>
      <c r="J11" t="str">
        <f t="shared" si="0"/>
        <v>youth</v>
      </c>
      <c r="K11" t="s">
        <v>10</v>
      </c>
      <c r="L11">
        <f t="shared" si="2"/>
        <v>1</v>
      </c>
      <c r="M11" s="1">
        <v>45208</v>
      </c>
      <c r="N11">
        <v>310.2</v>
      </c>
      <c r="Q11">
        <f t="shared" si="3"/>
        <v>16256.294999999991</v>
      </c>
      <c r="R11" s="2">
        <v>310.2</v>
      </c>
    </row>
    <row r="12" spans="1:18" x14ac:dyDescent="0.25">
      <c r="A12">
        <v>111</v>
      </c>
      <c r="B12" t="s">
        <v>26</v>
      </c>
      <c r="C12">
        <v>38</v>
      </c>
      <c r="I12" t="str">
        <f t="shared" si="1"/>
        <v>outlier</v>
      </c>
      <c r="J12" t="str">
        <f t="shared" si="0"/>
        <v>youth</v>
      </c>
      <c r="K12" t="s">
        <v>10</v>
      </c>
      <c r="L12">
        <f t="shared" si="2"/>
        <v>1</v>
      </c>
      <c r="M12" s="1">
        <v>45056</v>
      </c>
      <c r="N12">
        <v>45.5</v>
      </c>
      <c r="Q12">
        <f t="shared" si="3"/>
        <v>13284.5</v>
      </c>
      <c r="R12" s="2">
        <v>45.5</v>
      </c>
    </row>
    <row r="13" spans="1:18" x14ac:dyDescent="0.25">
      <c r="A13">
        <v>112</v>
      </c>
      <c r="C13">
        <v>22</v>
      </c>
      <c r="I13" t="str">
        <f t="shared" si="1"/>
        <v>outlier</v>
      </c>
      <c r="J13" t="str">
        <f t="shared" si="0"/>
        <v>youth</v>
      </c>
      <c r="K13" t="s">
        <v>27</v>
      </c>
      <c r="L13">
        <f t="shared" si="2"/>
        <v>2</v>
      </c>
      <c r="M13" s="1">
        <v>45271</v>
      </c>
      <c r="N13">
        <v>290</v>
      </c>
      <c r="R13" s="2">
        <v>290</v>
      </c>
    </row>
    <row r="14" spans="1:18" x14ac:dyDescent="0.25">
      <c r="C14">
        <f>AVERAGE(C2:C13)</f>
        <v>48.199999999999996</v>
      </c>
      <c r="N14">
        <v>45.5</v>
      </c>
      <c r="R14" s="2">
        <v>45.5</v>
      </c>
    </row>
    <row r="15" spans="1:18" x14ac:dyDescent="0.25">
      <c r="C15">
        <v>45.8</v>
      </c>
    </row>
  </sheetData>
  <autoFilter ref="A1:R15" xr:uid="{974D25F6-CFFB-4570-B5BE-B0566BF8EC10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Data_Cleaning_Practice_Dataset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2026-02-25T09:52:55Z</dcterms:created>
  <dcterms:modified xsi:type="dcterms:W3CDTF">2026-03-04T09:02:55Z</dcterms:modified>
</cp:coreProperties>
</file>